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quiries" sheetId="1" state="visible" r:id="rId3"/>
    <sheet name="Dashboard" sheetId="2" state="visible" r:id="rId4"/>
    <sheet name="Setup Instruc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<sst xmlns="http://schemas.openxmlformats.org/spreadsheetml/2006/main" count="88" uniqueCount="79">
  <si>
    <t xml:space="preserve">Sindhu Corporation — Enquiry Log</t>
  </si>
  <si>
    <t xml:space="preserve">Auto-recorded from sindhucorporation.com contact form</t>
  </si>
  <si>
    <t xml:space="preserve">Sl. No.</t>
  </si>
  <si>
    <t xml:space="preserve">Received On</t>
  </si>
  <si>
    <t xml:space="preserve">Full Name</t>
  </si>
  <si>
    <t xml:space="preserve">Phone</t>
  </si>
  <si>
    <t xml:space="preserve">Email</t>
  </si>
  <si>
    <t xml:space="preserve">Project of Interest</t>
  </si>
  <si>
    <t xml:space="preserve">Configuration</t>
  </si>
  <si>
    <t xml:space="preserve">Budget Range</t>
  </si>
  <si>
    <t xml:space="preserve">Buying Timeline</t>
  </si>
  <si>
    <t xml:space="preserve">Message / Requirements</t>
  </si>
  <si>
    <t xml:space="preserve">Status</t>
  </si>
  <si>
    <t xml:space="preserve">Assigned To</t>
  </si>
  <si>
    <t xml:space="preserve">Follow-up Date</t>
  </si>
  <si>
    <t xml:space="preserve">Notes</t>
  </si>
  <si>
    <t xml:space="preserve">2026-04-18 10:14</t>
  </si>
  <si>
    <t xml:space="preserve">Ramesh Shetty</t>
  </si>
  <si>
    <t xml:space="preserve">+91 98452 67812</t>
  </si>
  <si>
    <t xml:space="preserve">ramesh.s@example.com</t>
  </si>
  <si>
    <t xml:space="preserve">Sindhu Enclave — Gandhinagar</t>
  </si>
  <si>
    <t xml:space="preserve">3 BHK</t>
  </si>
  <si>
    <t xml:space="preserve">₹90L – ₹1.2Cr</t>
  </si>
  <si>
    <t xml:space="preserve">Within 3 months</t>
  </si>
  <si>
    <t xml:space="preserve">Interested in a high-floor unit with river view. Family of 4.</t>
  </si>
  <si>
    <t xml:space="preserve">New</t>
  </si>
  <si>
    <t xml:space="preserve">Sales Team</t>
  </si>
  <si>
    <t xml:space="preserve">Called — site visit scheduled</t>
  </si>
  <si>
    <t xml:space="preserve">2026-04-18 15:22</t>
  </si>
  <si>
    <t xml:space="preserve">Priya Kamath</t>
  </si>
  <si>
    <t xml:space="preserve">+91 99864 11220</t>
  </si>
  <si>
    <t xml:space="preserve">priya.k@example.com</t>
  </si>
  <si>
    <t xml:space="preserve">Sindhu Chilimbi (upcoming)</t>
  </si>
  <si>
    <t xml:space="preserve">2 BHK</t>
  </si>
  <si>
    <t xml:space="preserve">₹60L – ₹90L</t>
  </si>
  <si>
    <t xml:space="preserve">Immediate (under 30 days)</t>
  </si>
  <si>
    <t xml:space="preserve">Pre-launch pricing enquiry. Working couple, first home.</t>
  </si>
  <si>
    <t xml:space="preserve">Contacted</t>
  </si>
  <si>
    <t xml:space="preserve">2026-04-22</t>
  </si>
  <si>
    <t xml:space="preserve">Sent floor plan &amp; price list</t>
  </si>
  <si>
    <t xml:space="preserve">2026-04-19 09:05</t>
  </si>
  <si>
    <t xml:space="preserve">Dr. Sunil Pai</t>
  </si>
  <si>
    <t xml:space="preserve">+91 94480 55123</t>
  </si>
  <si>
    <t xml:space="preserve">sunilpai@example.com</t>
  </si>
  <si>
    <t xml:space="preserve">Not sure yet — recommend</t>
  </si>
  <si>
    <t xml:space="preserve">Either</t>
  </si>
  <si>
    <t xml:space="preserve">Flexible</t>
  </si>
  <si>
    <t xml:space="preserve">Just exploring</t>
  </si>
  <si>
    <t xml:space="preserve">NRI enquiry — looking for investment property. Currently in Dubai.</t>
  </si>
  <si>
    <t xml:space="preserve">NRI Desk</t>
  </si>
  <si>
    <t xml:space="preserve">Enquiry Dashboard</t>
  </si>
  <si>
    <t xml:space="preserve">Live metrics — refresh after new enquiries arrive</t>
  </si>
  <si>
    <t xml:space="preserve">Total Enquiries</t>
  </si>
  <si>
    <t xml:space="preserve">New / Pending</t>
  </si>
  <si>
    <t xml:space="preserve">Site Visits Booked</t>
  </si>
  <si>
    <t xml:space="preserve">Deals Booked</t>
  </si>
  <si>
    <t xml:space="preserve">Enquiries by Project</t>
  </si>
  <si>
    <t xml:space="preserve">Enquiries by Buying Timeline</t>
  </si>
  <si>
    <t xml:space="preserve">Project</t>
  </si>
  <si>
    <t xml:space="preserve">Count</t>
  </si>
  <si>
    <t xml:space="preserve">Timeline</t>
  </si>
  <si>
    <t xml:space="preserve">Sindhu Nethravathi — Katipalla (resale)</t>
  </si>
  <si>
    <t xml:space="preserve">3 – 6 months</t>
  </si>
  <si>
    <t xml:space="preserve">Krishnapura / Urwa / Ganjimata (resale)</t>
  </si>
  <si>
    <t xml:space="preserve">How this Excel gets auto-populated</t>
  </si>
  <si>
    <t xml:space="preserve">Step 1</t>
  </si>
  <si>
    <t xml:space="preserve">Upload this file to your Google Drive and open it as a Google Sheet (File → Open with Google Sheets). Google Sheets is 100% Excel-compatible and lets you download the file as .xlsx anytime.</t>
  </si>
  <si>
    <t xml:space="preserve">Step 2</t>
  </si>
  <si>
    <t xml:space="preserve">In the opened Google Sheet, go to Extensions → Apps Script and paste the contents of admin/google-apps-script.gs from your project folder. Click Deploy → New deployment → Web app. Set "Execute as" to Me, "Who has access" to Anyone. Copy the Web App URL.</t>
  </si>
  <si>
    <t xml:space="preserve">Step 3</t>
  </si>
  <si>
    <t xml:space="preserve">Open admin/setup-instructions.html in your project folder. Paste the Web App URL where shown, and also put your email address there. This is the email that will receive every enquiry.</t>
  </si>
  <si>
    <t xml:space="preserve">Step 4</t>
  </si>
  <si>
    <t xml:space="preserve">Open assets/js/main.js. Near the top, replace the placeholder ENQUIRY_WEBHOOK_URL with your Web App URL, and replace NOTIFY_EMAIL with your email address.</t>
  </si>
  <si>
    <t xml:space="preserve">Step 5</t>
  </si>
  <si>
    <t xml:space="preserve">Test by submitting an enquiry on your live site. Within 2-3 seconds you should receive an email AND see a new row appear in this Excel/Sheet.</t>
  </si>
  <si>
    <t xml:space="preserve">Status meanings</t>
  </si>
  <si>
    <t xml:space="preserve">New → just arrived  |  Contacted → you have called/emailed  |  Site Visit → booked  |  Booked → deal closed  |  Closed - Lost → did not convert</t>
  </si>
  <si>
    <t xml:space="preserve">To download as Excel</t>
  </si>
  <si>
    <t xml:space="preserve">File → Download → Microsoft Excel (.xlsx). You can do this anytime to have a local backup of all enquiries.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</si>
</sst>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0F2A4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b val="true"/>
      <sz val="10"/>
      <color rgb="FF0F2A44"/>
      <name val="Arial"/>
      <family val="0"/>
      <charset val="1"/>
    </font>
    <font>
      <b val="true"/>
      <sz val="26"/>
      <color rgb="FF0F2A44"/>
      <name val="Arial"/>
      <family val="0"/>
      <charset val="1"/>
    </font>
    <font>
      <b val="true"/>
      <sz val="13"/>
      <color rgb="FF0F2A4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0F2A44"/>
      <name val="Arial"/>
      <family val="0"/>
      <charset val="1"/>
    </font>
    <font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F2A44"/>
        <bgColor rgb="FF003300"/>
      </patternFill>
    </fill>
    <fill>
      <patternFill patternType="solid">
        <fgColor rgb="FFFAF7F2"/>
        <bgColor rgb="FFFFFFFF"/>
      </patternFill>
    </fill>
    <fill>
      <patternFill patternType="solid">
        <fgColor rgb="FFF3E9C9"/>
        <bgColor rgb="FFFFF4C2"/>
      </patternFill>
    </fill>
    <fill>
      <patternFill patternType="solid">
        <fgColor rgb="FFFFFFFF"/>
        <bgColor rgb="FFFAF7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name val="Arial"/>
        <charset val="1"/>
        <family val="0"/>
        <b val="1"/>
        <color rgb="FF8A6100"/>
        <sz val="10"/>
      </font>
      <fill>
        <patternFill>
          <bgColor rgb="FFFFF4C2"/>
        </patternFill>
      </fill>
    </dxf>
    <dxf>
      <font>
        <name val="Arial"/>
        <charset val="1"/>
        <family val="0"/>
        <b val="1"/>
        <color rgb="FF0F4B60"/>
        <sz val="10"/>
      </font>
      <fill>
        <patternFill>
          <bgColor rgb="FFCDE7F0"/>
        </patternFill>
      </fill>
    </dxf>
    <dxf>
      <font>
        <name val="Arial"/>
        <charset val="1"/>
        <family val="0"/>
        <b val="1"/>
        <color rgb="FF4A2E7E"/>
        <sz val="10"/>
      </font>
      <fill>
        <patternFill>
          <bgColor rgb="FFE2D6F5"/>
        </patternFill>
      </fill>
    </dxf>
    <dxf>
      <font>
        <name val="Arial"/>
        <charset val="1"/>
        <family val="0"/>
        <b val="1"/>
        <color rgb="FF22663A"/>
        <sz val="10"/>
      </font>
      <fill>
        <patternFill>
          <bgColor rgb="FFCDEFD7"/>
        </patternFill>
      </fill>
    </dxf>
    <dxf>
      <font>
        <name val="Arial"/>
        <charset val="1"/>
        <family val="0"/>
        <b val="1"/>
        <color rgb="FF7A1F1F"/>
        <sz val="10"/>
      </font>
      <fill>
        <patternFill>
          <bgColor rgb="FFF5D2D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2663A"/>
      <rgbColor rgb="FF000080"/>
      <rgbColor rgb="FF8A6100"/>
      <rgbColor rgb="FF800080"/>
      <rgbColor rgb="FF008080"/>
      <rgbColor rgb="FFCCCCCC"/>
      <rgbColor rgb="FF808080"/>
      <rgbColor rgb="FF9999FF"/>
      <rgbColor rgb="FF993366"/>
      <rgbColor rgb="FFFFF4C2"/>
      <rgbColor rgb="FFCDE7F0"/>
      <rgbColor rgb="FF660066"/>
      <rgbColor rgb="FFFF8080"/>
      <rgbColor rgb="FF0066CC"/>
      <rgbColor rgb="FFE2D6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AF7F2"/>
      <rgbColor rgb="FFCDEFD7"/>
      <rgbColor rgb="FFF3E9C9"/>
      <rgbColor rgb="FF99CCFF"/>
      <rgbColor rgb="FFFF99CC"/>
      <rgbColor rgb="FFCC99FF"/>
      <rgbColor rgb="FFF5D2D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2A44"/>
      <rgbColor rgb="FF339966"/>
      <rgbColor rgb="FF003300"/>
      <rgbColor rgb="FF333300"/>
      <rgbColor rgb="FF7A1F1F"/>
      <rgbColor rgb="FF993366"/>
      <rgbColor rgb="FF4A2E7E"/>
      <rgbColor rgb="FF0F4B6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28"/>
    <col collapsed="false" customWidth="true" hidden="false" outlineLevel="0" max="6" min="6" style="0" width="34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22"/>
    <col collapsed="false" customWidth="true" hidden="false" outlineLevel="0" max="10" min="10" style="0" width="40"/>
    <col collapsed="false" customWidth="true" hidden="false" outlineLevel="0" max="11" min="11" style="0" width="12"/>
    <col collapsed="false" customWidth="true" hidden="false" outlineLevel="0" max="13" min="12" style="0" width="14"/>
    <col collapsed="false" customWidth="true" hidden="false" outlineLevel="0" max="14" min="14" style="0" width="3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37.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</row>
    <row r="4" customFormat="false" ht="23.85" hidden="false" customHeight="false" outlineLevel="0" collapsed="false">
      <c r="A4" s="4" t="n">
        <v>1</v>
      </c>
      <c r="B4" s="4" t="s">
        <v>16</v>
      </c>
      <c r="C4" s="4" t="s">
        <v>17</v>
      </c>
      <c r="D4" s="4" t="s">
        <v>18</v>
      </c>
      <c r="E4" s="4" t="s">
        <v>19</v>
      </c>
      <c r="F4" s="4" t="s">
        <v>20</v>
      </c>
      <c r="G4" s="4" t="s">
        <v>21</v>
      </c>
      <c r="H4" s="4" t="s">
        <v>22</v>
      </c>
      <c r="I4" s="4" t="s">
        <v>23</v>
      </c>
      <c r="J4" s="4" t="s">
        <v>24</v>
      </c>
      <c r="K4" s="4" t="s">
        <v>25</v>
      </c>
      <c r="L4" s="4" t="s">
        <v>26</v>
      </c>
      <c r="M4" s="4"/>
      <c r="N4" s="4" t="s">
        <v>27</v>
      </c>
    </row>
    <row r="5" customFormat="false" ht="23.85" hidden="false" customHeight="false" outlineLevel="0" collapsed="false">
      <c r="A5" s="4" t="n">
        <v>2</v>
      </c>
      <c r="B5" s="4" t="s">
        <v>28</v>
      </c>
      <c r="C5" s="4" t="s">
        <v>29</v>
      </c>
      <c r="D5" s="4" t="s">
        <v>30</v>
      </c>
      <c r="E5" s="4" t="s">
        <v>31</v>
      </c>
      <c r="F5" s="4" t="s">
        <v>32</v>
      </c>
      <c r="G5" s="4" t="s">
        <v>33</v>
      </c>
      <c r="H5" s="4" t="s">
        <v>34</v>
      </c>
      <c r="I5" s="4" t="s">
        <v>35</v>
      </c>
      <c r="J5" s="4" t="s">
        <v>36</v>
      </c>
      <c r="K5" s="4" t="s">
        <v>37</v>
      </c>
      <c r="L5" s="4" t="s">
        <v>26</v>
      </c>
      <c r="M5" s="4" t="s">
        <v>38</v>
      </c>
      <c r="N5" s="4" t="s">
        <v>39</v>
      </c>
    </row>
    <row r="6" customFormat="false" ht="23.85" hidden="false" customHeight="false" outlineLevel="0" collapsed="false">
      <c r="A6" s="4" t="n">
        <v>3</v>
      </c>
      <c r="B6" s="4" t="s">
        <v>40</v>
      </c>
      <c r="C6" s="4" t="s">
        <v>41</v>
      </c>
      <c r="D6" s="4" t="s">
        <v>42</v>
      </c>
      <c r="E6" s="4" t="s">
        <v>43</v>
      </c>
      <c r="F6" s="4" t="s">
        <v>44</v>
      </c>
      <c r="G6" s="4" t="s">
        <v>45</v>
      </c>
      <c r="H6" s="4" t="s">
        <v>46</v>
      </c>
      <c r="I6" s="4" t="s">
        <v>47</v>
      </c>
      <c r="J6" s="4" t="s">
        <v>48</v>
      </c>
      <c r="K6" s="4" t="s">
        <v>25</v>
      </c>
      <c r="L6" s="4" t="s">
        <v>49</v>
      </c>
      <c r="M6" s="4"/>
      <c r="N6" s="4"/>
    </row>
  </sheetData>
  <mergeCells count="2">
    <mergeCell ref="A1:N1"/>
    <mergeCell ref="A2:N2"/>
  </mergeCells>
  <conditionalFormatting sqref="K4:K1000">
    <cfRule type="expression" priority="2" aboveAverage="0" equalAverage="0" bottom="0" percent="0" rank="0" text="" dxfId="0">
      <formula>$K4="New"</formula>
    </cfRule>
    <cfRule type="expression" priority="3" aboveAverage="0" equalAverage="0" bottom="0" percent="0" rank="0" text="" dxfId="1">
      <formula>$K4="Contacted"</formula>
    </cfRule>
    <cfRule type="expression" priority="4" aboveAverage="0" equalAverage="0" bottom="0" percent="0" rank="0" text="" dxfId="2">
      <formula>$K4="Site Visit"</formula>
    </cfRule>
    <cfRule type="expression" priority="5" aboveAverage="0" equalAverage="0" bottom="0" percent="0" rank="0" text="" dxfId="3">
      <formula>$K4="Booked"</formula>
    </cfRule>
    <cfRule type="expression" priority="6" aboveAverage="0" equalAverage="0" bottom="0" percent="0" rank="0" text="" dxfId="4">
      <formula>$K4="Closed - Lost"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28"/>
    <col collapsed="false" customWidth="true" hidden="false" outlineLevel="0" max="8" min="8" style="0" width="12"/>
  </cols>
  <sheetData>
    <row r="1" customFormat="false" ht="36" hidden="false" customHeight="true" outlineLevel="0" collapsed="false">
      <c r="A1" s="5" t="s">
        <v>50</v>
      </c>
      <c r="B1" s="5"/>
      <c r="C1" s="5"/>
      <c r="D1" s="5"/>
      <c r="E1" s="5"/>
      <c r="F1" s="5"/>
    </row>
    <row r="2" customFormat="false" ht="15" hidden="false" customHeight="false" outlineLevel="0" collapsed="false">
      <c r="A2" s="6" t="s">
        <v>51</v>
      </c>
      <c r="B2" s="6"/>
      <c r="C2" s="6"/>
      <c r="D2" s="6"/>
      <c r="E2" s="6"/>
      <c r="F2" s="6"/>
    </row>
    <row r="4" customFormat="false" ht="15" hidden="false" customHeight="false" outlineLevel="0" collapsed="false">
      <c r="A4" s="7" t="s">
        <v>52</v>
      </c>
      <c r="B4" s="7"/>
      <c r="C4" s="7" t="s">
        <v>53</v>
      </c>
      <c r="D4" s="7"/>
      <c r="E4" s="7" t="s">
        <v>54</v>
      </c>
      <c r="F4" s="7"/>
      <c r="G4" s="7" t="s">
        <v>55</v>
      </c>
      <c r="H4" s="7"/>
    </row>
    <row r="5" customFormat="false" ht="30" hidden="false" customHeight="true" outlineLevel="0" collapsed="false">
      <c r="A5" s="8" t="n">
        <f aca="false">COUNTA(Enquiries!C4:C1000)</f>
        <v>3</v>
      </c>
      <c r="B5" s="8"/>
      <c r="C5" s="8" t="n">
        <f aca="false">COUNTIF(Enquiries!K4:K1000,"New")</f>
        <v>2</v>
      </c>
      <c r="D5" s="8"/>
      <c r="E5" s="8" t="n">
        <f aca="false">COUNTIF(Enquiries!K4:K1000,"Site Visit")</f>
        <v>0</v>
      </c>
      <c r="F5" s="8"/>
      <c r="G5" s="8" t="n">
        <f aca="false">COUNTIF(Enquiries!K4:K1000,"Booked")</f>
        <v>0</v>
      </c>
      <c r="H5" s="8"/>
    </row>
    <row r="6" customFormat="false" ht="19.5" hidden="false" customHeight="true" outlineLevel="0" collapsed="false">
      <c r="A6" s="8"/>
      <c r="B6" s="8"/>
      <c r="C6" s="8"/>
      <c r="D6" s="8"/>
      <c r="E6" s="8"/>
      <c r="F6" s="8"/>
      <c r="G6" s="8"/>
      <c r="H6" s="8"/>
    </row>
    <row r="9" customFormat="false" ht="16.15" hidden="false" customHeight="false" outlineLevel="0" collapsed="false">
      <c r="A9" s="9" t="s">
        <v>56</v>
      </c>
      <c r="B9" s="9"/>
      <c r="C9" s="9"/>
      <c r="D9" s="9"/>
      <c r="G9" s="9" t="s">
        <v>57</v>
      </c>
      <c r="H9" s="9"/>
    </row>
    <row r="10" customFormat="false" ht="15" hidden="false" customHeight="false" outlineLevel="0" collapsed="false">
      <c r="A10" s="10" t="s">
        <v>58</v>
      </c>
      <c r="B10" s="10" t="s">
        <v>59</v>
      </c>
      <c r="G10" s="10" t="s">
        <v>60</v>
      </c>
      <c r="H10" s="10" t="s">
        <v>59</v>
      </c>
    </row>
    <row r="11" customFormat="false" ht="15" hidden="false" customHeight="false" outlineLevel="0" collapsed="false">
      <c r="A11" s="11" t="s">
        <v>32</v>
      </c>
      <c r="B11" s="12" t="n">
        <f aca="false">COUNTIF(Enquiries!F4:F1000,"Sindhu Chilimbi (upcoming)")</f>
        <v>1</v>
      </c>
      <c r="G11" s="11" t="s">
        <v>35</v>
      </c>
      <c r="H11" s="12" t="n">
        <f aca="false">COUNTIF(Enquiries!I4:I1000,"Immediate (under 30 days)")</f>
        <v>1</v>
      </c>
    </row>
    <row r="12" customFormat="false" ht="15" hidden="false" customHeight="false" outlineLevel="0" collapsed="false">
      <c r="A12" s="11" t="s">
        <v>20</v>
      </c>
      <c r="B12" s="12" t="n">
        <f aca="false">COUNTIF(Enquiries!F4:F1000,"Sindhu Enclave — Gandhinagar")</f>
        <v>1</v>
      </c>
      <c r="G12" s="11" t="s">
        <v>23</v>
      </c>
      <c r="H12" s="12" t="n">
        <f aca="false">COUNTIF(Enquiries!I4:I1000,"Within 3 months")</f>
        <v>1</v>
      </c>
    </row>
    <row r="13" customFormat="false" ht="15" hidden="false" customHeight="false" outlineLevel="0" collapsed="false">
      <c r="A13" s="11" t="s">
        <v>61</v>
      </c>
      <c r="B13" s="12" t="n">
        <f aca="false">COUNTIF(Enquiries!F4:F1000,"Sindhu Nethravathi — Katipalla (resale)")</f>
        <v>0</v>
      </c>
      <c r="G13" s="11" t="s">
        <v>62</v>
      </c>
      <c r="H13" s="12" t="n">
        <f aca="false">COUNTIF(Enquiries!I4:I1000,"3 – 6 months")</f>
        <v>0</v>
      </c>
    </row>
    <row r="14" customFormat="false" ht="15" hidden="false" customHeight="false" outlineLevel="0" collapsed="false">
      <c r="A14" s="11" t="s">
        <v>63</v>
      </c>
      <c r="B14" s="12" t="n">
        <f aca="false">COUNTIF(Enquiries!F4:F1000,"Krishnapura / Urwa / Ganjimata (resale)")</f>
        <v>0</v>
      </c>
      <c r="G14" s="11" t="s">
        <v>47</v>
      </c>
      <c r="H14" s="12" t="n">
        <f aca="false">COUNTIF(Enquiries!I4:I1000,"Just exploring")</f>
        <v>1</v>
      </c>
    </row>
    <row r="15" customFormat="false" ht="15" hidden="false" customHeight="false" outlineLevel="0" collapsed="false">
      <c r="A15" s="11" t="s">
        <v>44</v>
      </c>
      <c r="B15" s="12" t="n">
        <f aca="false">COUNTIF(Enquiries!F4:F1000,"Not sure yet — recommend")</f>
        <v>1</v>
      </c>
    </row>
  </sheetData>
  <mergeCells count="12">
    <mergeCell ref="A1:F1"/>
    <mergeCell ref="A2:F2"/>
    <mergeCell ref="A4:B4"/>
    <mergeCell ref="C4:D4"/>
    <mergeCell ref="E4:F4"/>
    <mergeCell ref="G4:H4"/>
    <mergeCell ref="A5:B6"/>
    <mergeCell ref="C5:D6"/>
    <mergeCell ref="E5:F6"/>
    <mergeCell ref="G5:H6"/>
    <mergeCell ref="A9:D9"/>
    <mergeCell ref="G9:H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10"/>
  </cols>
  <sheetData>
    <row r="1" customFormat="false" ht="30" hidden="false" customHeight="true" outlineLevel="0" collapsed="false">
      <c r="A1" s="1" t="s">
        <v>64</v>
      </c>
      <c r="B1" s="1"/>
    </row>
    <row r="3" customFormat="false" ht="55.5" hidden="false" customHeight="true" outlineLevel="0" collapsed="false">
      <c r="A3" s="13" t="s">
        <v>65</v>
      </c>
      <c r="B3" s="14" t="s">
        <v>66</v>
      </c>
    </row>
    <row r="4" customFormat="false" ht="55.5" hidden="false" customHeight="true" outlineLevel="0" collapsed="false">
      <c r="A4" s="13" t="s">
        <v>67</v>
      </c>
      <c r="B4" s="14" t="s">
        <v>68</v>
      </c>
    </row>
    <row r="5" customFormat="false" ht="55.5" hidden="false" customHeight="true" outlineLevel="0" collapsed="false">
      <c r="A5" s="13" t="s">
        <v>69</v>
      </c>
      <c r="B5" s="14" t="s">
        <v>70</v>
      </c>
    </row>
    <row r="6" customFormat="false" ht="55.5" hidden="false" customHeight="true" outlineLevel="0" collapsed="false">
      <c r="A6" s="13" t="s">
        <v>71</v>
      </c>
      <c r="B6" s="14" t="s">
        <v>72</v>
      </c>
    </row>
    <row r="7" customFormat="false" ht="55.5" hidden="false" customHeight="true" outlineLevel="0" collapsed="false">
      <c r="A7" s="13" t="s">
        <v>73</v>
      </c>
      <c r="B7" s="14" t="s">
        <v>74</v>
      </c>
    </row>
    <row r="8" customFormat="false" ht="9.75" hidden="false" customHeight="true" outlineLevel="0" collapsed="false">
      <c r="A8" s="15"/>
      <c r="B8" s="14"/>
    </row>
    <row r="9" customFormat="false" ht="55.5" hidden="false" customHeight="true" outlineLevel="0" collapsed="false">
      <c r="A9" s="13" t="s">
        <v>75</v>
      </c>
      <c r="B9" s="14" t="s">
        <v>76</v>
      </c>
    </row>
    <row r="10" customFormat="false" ht="55.5" hidden="false" customHeight="true" outlineLevel="0" collapsed="false">
      <c r="A10" s="13" t="s">
        <v>77</v>
      </c>
      <c r="B10" s="14" t="s">
        <v>78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2026-04-19T12:04:05Z</dcterms:created>
  <dc:creator>openpyxl</dc:creator>
  <dc:description/>
  <dc:language>en-US</dc:language>
  <cp:lastModifiedBy/>
  <dcterms:modified xsi:type="dcterms:W3CDTF">2026-04-19T12:04:05Z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